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1eb1c9bb38a56ae9/Documents/CollegeInformation/2025-2026/EE333/golf-gps/docs/"/>
    </mc:Choice>
  </mc:AlternateContent>
  <xr:revisionPtr revIDLastSave="146" documentId="13_ncr:1_{C2E46221-5B72-4825-9D27-95804757E5E8}" xr6:coauthVersionLast="47" xr6:coauthVersionMax="47" xr10:uidLastSave="{9943607C-E0A9-496C-9C29-41D18440A4C6}"/>
  <bookViews>
    <workbookView xWindow="-38510" yWindow="-9610" windowWidth="38620" windowHeight="21100" xr2:uid="{00000000-000D-0000-FFFF-FFFF00000000}"/>
  </bookViews>
  <sheets>
    <sheet name="BOM" sheetId="1" r:id="rId1"/>
  </sheets>
  <definedNames>
    <definedName name="_xlnm.Print_Area" localSheetId="0">BOM!$A$1:$H$31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</calcChain>
</file>

<file path=xl/sharedStrings.xml><?xml version="1.0" encoding="utf-8"?>
<sst xmlns="http://schemas.openxmlformats.org/spreadsheetml/2006/main" count="251" uniqueCount="222">
  <si>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</si>
  <si>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</si>
  <si>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</si>
  <si>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</si>
  <si>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</si>
  <si>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</si>
  <si>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</si>
  <si>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</si>
  <si>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</si>
  <si>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</si>
  <si>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</si>
  <si>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</si>
  <si>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</si>
  <si>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C2-C7, C9</t>
  </si>
  <si>
    <t>C13, C15</t>
  </si>
  <si>
    <t>D1</t>
  </si>
  <si>
    <t>D2-D4</t>
  </si>
  <si>
    <t>D6</t>
  </si>
  <si>
    <t>F1</t>
  </si>
  <si>
    <t>L1</t>
  </si>
  <si>
    <t>L2</t>
  </si>
  <si>
    <t>DNP. Use 0603 0 Ohm resistor</t>
  </si>
  <si>
    <t>Q1</t>
  </si>
  <si>
    <t>R2, R3</t>
  </si>
  <si>
    <t>SW1</t>
  </si>
  <si>
    <t>SW2-SW5</t>
  </si>
  <si>
    <t>Link</t>
  </si>
  <si>
    <t>TP1-TP11</t>
  </si>
  <si>
    <t>U1</t>
  </si>
  <si>
    <t>U2</t>
  </si>
  <si>
    <t>U3</t>
  </si>
  <si>
    <t>U4</t>
  </si>
  <si>
    <t>U5</t>
  </si>
  <si>
    <t>U6</t>
  </si>
  <si>
    <t>U7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</si>
  <si>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</si>
  <si>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</si>
  <si>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</si>
  <si>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</si>
  <si>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</si>
  <si>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</si>
  <si>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</si>
  <si>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</si>
  <si>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</si>
  <si>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</si>
  <si>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LTST-C170CKT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</si>
  <si>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</si>
  <si>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</si>
  <si>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</si>
  <si>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</si>
  <si>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</si>
  <si>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</si>
  <si>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</si>
  <si>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</si>
  <si>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</si>
  <si>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</si>
  <si>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D5, D7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</si>
  <si>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</si>
  <si>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</si>
  <si>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</si>
  <si>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</si>
  <si>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</si>
  <si>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</si>
  <si>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</si>
  <si>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</si>
  <si>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</si>
  <si>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</si>
  <si>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</si>
  <si>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</si>
  <si>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</si>
  <si>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</si>
  <si>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</si>
  <si>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</si>
  <si>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</si>
  <si>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</si>
  <si>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C1, C8, C10, C12, C14, C16, C17, C20, C21</t>
  </si>
  <si>
    <t>Value TBD</t>
  </si>
  <si>
    <t>C11, C23</t>
  </si>
  <si>
    <t>C22</t>
  </si>
  <si>
    <t>J2</t>
  </si>
  <si>
    <t>J8</t>
  </si>
  <si>
    <t>J3-J5</t>
  </si>
  <si>
    <t>J6</t>
  </si>
  <si>
    <t>J7</t>
  </si>
  <si>
    <t>R1, R4, R8, R13-R15, R17-R22</t>
  </si>
  <si>
    <t>R5, R6</t>
  </si>
  <si>
    <t>R7</t>
  </si>
  <si>
    <t>R9-R12, R16</t>
  </si>
  <si>
    <t>RF ANT 1.575/1.602GHZ CER PATCH</t>
  </si>
  <si>
    <t>SGGP.25.2.A.02</t>
  </si>
  <si>
    <t>Taoglas Limited</t>
  </si>
  <si>
    <t>931-1450-1-ND</t>
  </si>
  <si>
    <t>RF ANTENNA GLONASS, GPS Ceramic Patch Solder Surface Mount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</si>
  <si>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</si>
  <si>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Battery Retainer Coin, 20.0mm 1 Cell SMD (SMT) Tab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</si>
  <si>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</si>
  <si>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</si>
  <si>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</si>
  <si>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</si>
  <si>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</si>
  <si>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</si>
  <si>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</si>
  <si>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</si>
  <si>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</si>
  <si>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</si>
  <si>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160-1176-1-ND</t>
  </si>
  <si>
    <t>Diode Array 1 Pair Common Cathode 30 V 200mA Surface Mount TO-236-3, SC-59, SOT-23-3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</si>
  <si>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</si>
  <si>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</si>
  <si>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</si>
  <si>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</si>
  <si>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</si>
  <si>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</si>
  <si>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</si>
  <si>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</si>
  <si>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</si>
  <si>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TBD</t>
  </si>
  <si>
    <t>CL10A225KO8NNNC</t>
  </si>
  <si>
    <t>1276-1040-1-ND</t>
  </si>
  <si>
    <t>2.2 µF ±10% 16V Ceramic Capacitor X5R 0603 (1608 Metric)</t>
  </si>
  <si>
    <t>CAP CER 2.2UF 16V X5R 0603</t>
  </si>
  <si>
    <t>https://www.digikey.com/en/products/detail/samsung-electro-mechanics/CL10A225KO8NNNC/3886698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</si>
  <si>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</si>
  <si>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</si>
  <si>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https://www.mouser.com/ProductDetail/Coilcraft/LPS3010-152MRC?qs=QQJxVsr8EGasSZ6gWEcu2Q%3D%3D</t>
  </si>
  <si>
    <t>MOUSER</t>
  </si>
  <si>
    <t>Column1</t>
  </si>
  <si>
    <t>Coilcraft</t>
  </si>
  <si>
    <t>994-LPS3010-152MRC</t>
  </si>
  <si>
    <t>LPS3010-152MRC</t>
  </si>
  <si>
    <t>Power Inductors - SMD 1.5uH Shld 20% 120mOhms AECQ2</t>
  </si>
  <si>
    <t>LPS3010</t>
  </si>
  <si>
    <t>MOSFET P-CH 20V 4.2A SOT23</t>
  </si>
  <si>
    <t>TO-236-3, SC-59, SOT-23-3</t>
  </si>
  <si>
    <t>DMG2305UX-7</t>
  </si>
  <si>
    <t>Diodes Incorporated</t>
  </si>
  <si>
    <t>P-Channel 20 V 4.2A (Ta) 1.4W (Ta) Surface Mount SOT-23-3</t>
  </si>
  <si>
    <t>https://www.digikey.com/en/products/detail/diodes-incorporated/dmg2305ux-7/4340667</t>
  </si>
  <si>
    <t>311-27GRCT-ND</t>
  </si>
  <si>
    <t>YAGEO</t>
  </si>
  <si>
    <t>RC0603JR-0727RL</t>
  </si>
  <si>
    <t>27 Ohms ±5% 0.1W, 1/10W Chip Resistor 0603 (1608 Metric) Moisture Resistant Thick Film</t>
  </si>
  <si>
    <t>https://www.digikey.com/en/products/detail/yageo/RC0603JR-0727RL/726751</t>
  </si>
  <si>
    <t>RES 27 OHM 5% 1/10W 0603</t>
  </si>
  <si>
    <t>RC0603FR-075K1L</t>
  </si>
  <si>
    <t>311-5.10KHRCT-ND</t>
  </si>
  <si>
    <t>RES 5.1K OHM 1% 1/10W 0603</t>
  </si>
  <si>
    <t>5.1 kOhms ±1% 0.1W, 1/10W Chip Resistor 0603 (1608 Metric) Moisture Resistant Thick Film</t>
  </si>
  <si>
    <t>https://www.digikey.com/en/products/detail/yageo/RC0603FR-075K1L/727268</t>
  </si>
  <si>
    <t>RC0603JR-071K3L</t>
  </si>
  <si>
    <t>311-1.3KGRCT-ND</t>
  </si>
  <si>
    <t>1.3 kOhms ±5% 0.1W, 1/10W Chip Resistor 0603 (1608 Metric) Moisture Resistant Thick Film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</si>
  <si>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</si>
  <si>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</si>
  <si>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</si>
  <si>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</si>
  <si>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</si>
  <si>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450301014042</t>
  </si>
  <si>
    <t>Würth Elektronik</t>
  </si>
  <si>
    <t>SWITCH SLIDE SPDT 500MA 12V</t>
  </si>
  <si>
    <t>Slide Switch SPDT Through Hole</t>
  </si>
  <si>
    <t>https://www.digikey.com/en/products/detail/w%C3%BCrth-elektronik/450301014042/5209104</t>
  </si>
  <si>
    <t>450301014042-ND</t>
  </si>
  <si>
    <t>WS-SLTV</t>
  </si>
  <si>
    <t>TS02-66-43-BK-160-LCR-D</t>
  </si>
  <si>
    <t>2223-TS02-66-43-BK-160-LCR-D-ND</t>
  </si>
  <si>
    <t>Same Sky (Formerly CUI Devices)</t>
  </si>
  <si>
    <t>Tactile Switch SPST-NO Top Actuated Through Hole</t>
  </si>
  <si>
    <t>SWITCH TACTILE SPST-NO 0.05A 12V</t>
  </si>
  <si>
    <t>TS02</t>
  </si>
  <si>
    <t>768-1178-1-ND</t>
  </si>
  <si>
    <t>USB Bridge, USB to UART USB 2.0 UART Interface 12-DFN (3x3)</t>
  </si>
  <si>
    <t>FTDI, Future Technology Devices International Ltd</t>
  </si>
  <si>
    <t>FT234XD-R</t>
  </si>
  <si>
    <t>IC USB SERIAL BASIC UART 12DFN</t>
  </si>
  <si>
    <t>12-VFDFN Exposed Pad</t>
  </si>
  <si>
    <t>MCP73871-1AAI/ML-ND</t>
  </si>
  <si>
    <t>Microchip Technology</t>
  </si>
  <si>
    <t>IC BATT CHG LI-ION 1CELL 20QFN</t>
  </si>
  <si>
    <t>Charger IC Lithium Ion/Polymer 20-QFN (4x4)</t>
  </si>
  <si>
    <t>https://www.digikey.com/en/products/detail/microchip-technology/mcp73871-1aai-ml/7928179</t>
  </si>
  <si>
    <t>20-VFQFN Exposed Pad</t>
  </si>
  <si>
    <t>https://www.digikey.com/en/products/detail/ftdi-future-technology-devices-international-ltd/FT234XD-R/3904921?s=N4IgTCBcDaIOwDYAcBaAjGuq0oHIBEQBdAXyA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</si>
  <si>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</si>
  <si>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</si>
  <si>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</si>
  <si>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</si>
  <si>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</si>
  <si>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Buck-Boost Switching Regulator IC Positive Fixed 3.3V 1 Output 900mA (Switch) 10-WFDFN Exposed Pad</t>
  </si>
  <si>
    <t>10-WFDFN Exposed Pad</t>
  </si>
  <si>
    <t>ESP32-C3-WROOM-02-H4</t>
  </si>
  <si>
    <t>Espressif Systems</t>
  </si>
  <si>
    <t>1965-ESP32-C3-WROOM-02-H4CT-ND</t>
  </si>
  <si>
    <t>Bluetooth, WiFi 802.11b/g/n, Bluetooth v5.0 Transceiver Module 2.4GHz PCB Trace Surface Mount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</si>
  <si>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</si>
  <si>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</si>
  <si>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</si>
  <si>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</si>
  <si>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</si>
  <si>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M9 RF Receiver BeiDou, Galileo, GLONASS, GNSS, GPS -167dBm Module</t>
  </si>
  <si>
    <t>https://www.digikey.com/en/products/detail/u-blox/neo-m9n-00b/12149174</t>
  </si>
  <si>
    <t>M9 STANDARD PRECISION GNSS MOD</t>
  </si>
  <si>
    <t>24-SMD Module</t>
  </si>
  <si>
    <t>296-BQ27427YZFRCT-ND</t>
  </si>
  <si>
    <t>Battery Fuel Gauge IC Lithium Ion 9-DSBGA</t>
  </si>
  <si>
    <t>https://www.digikey.com/en/products/detail/texas-instruments/BQ27427YZFR/17748369</t>
  </si>
  <si>
    <t>BQ27427YZFR</t>
  </si>
  <si>
    <t>SINGLE-CELL BATTERY FUEL GAUGE W</t>
  </si>
  <si>
    <t>9-DSBGA</t>
  </si>
  <si>
    <t>Sensirion AG</t>
  </si>
  <si>
    <t>SHT30-DIS-B2.5KS</t>
  </si>
  <si>
    <t>1649-1009-1-ND</t>
  </si>
  <si>
    <t>Humidity, Temperature 0 ~ 100% RH I2C ±2% RH 8 s Surface Mount</t>
  </si>
  <si>
    <t>https://www.digikey.com/en/products/detail/sensirion-ag/SHT30-DIS-B2-5KS/5872250</t>
  </si>
  <si>
    <t>SENSOR HUMID/TEMP 5V I2C 2% SMD</t>
  </si>
  <si>
    <t>8-VFDFN Exposed Pad</t>
  </si>
  <si>
    <t>ABS07-32.768KHZ-T</t>
  </si>
  <si>
    <t>Abracon LLC</t>
  </si>
  <si>
    <t>CRYSTAL 32.7680KHZ 12.5PF SMD</t>
  </si>
  <si>
    <t>32.768 kHz ±20ppm Crystal 12.5pF 70 kOhms 2-SMD, No Lead</t>
  </si>
  <si>
    <t>https://www.digikey.com/en/products/detail/abracon-llc/ABS07-32-768KHZ-T/1236858</t>
  </si>
  <si>
    <t>2-SMD (3.2x1.5)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</si>
</sst>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333333"/>
      <name val="Arial"/>
      <family val="2"/>
    </font>
    <font>
      <sz val="10"/>
      <color rgb="FF333333"/>
      <name val="Arial"/>
      <family val="2"/>
    </font>
    <font>
      <sz val="7"/>
      <color rgb="FF44444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medium">
        <color rgb="FF000000"/>
      </top>
      <bottom style="thick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49" fontId="4" fillId="0" borderId="1" xfId="0" applyNumberFormat="1" applyFont="1" applyBorder="1" applyAlignment="1">
      <alignment horizontal="left" vertical="top"/>
    </xf>
    <xf numFmtId="49" fontId="4" fillId="0" borderId="1" xfId="0" applyNumberFormat="1" applyFont="1" applyBorder="1" applyAlignment="1">
      <alignment horizontal="left" vertical="top" wrapText="1"/>
    </xf>
    <xf numFmtId="49" fontId="5" fillId="0" borderId="0" xfId="0" applyNumberFormat="1" applyFont="1" applyAlignment="1">
      <alignment horizontal="left" vertical="top"/>
    </xf>
    <xf numFmtId="0" fontId="5" fillId="0" borderId="0" xfId="0" applyFont="1"/>
    <xf numFmtId="49" fontId="6" fillId="0" borderId="1" xfId="0" applyNumberFormat="1" applyFont="1" applyBorder="1" applyAlignment="1">
      <alignment horizontal="left" vertical="top"/>
    </xf>
    <xf numFmtId="49" fontId="4" fillId="0" borderId="1" xfId="1" applyNumberFormat="1" applyFont="1" applyBorder="1" applyAlignment="1">
      <alignment horizontal="left" vertical="top"/>
    </xf>
    <xf numFmtId="0" fontId="7" fillId="0" borderId="0" xfId="0" applyFont="1"/>
    <xf numFmtId="49" fontId="4" fillId="0" borderId="2" xfId="0" applyNumberFormat="1" applyFont="1" applyBorder="1" applyAlignment="1">
      <alignment horizontal="left" vertical="top"/>
    </xf>
    <xf numFmtId="49" fontId="4" fillId="0" borderId="3" xfId="0" applyNumberFormat="1" applyFont="1" applyBorder="1" applyAlignment="1">
      <alignment horizontal="left" vertical="top"/>
    </xf>
    <xf numFmtId="49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49" fontId="4" fillId="0" borderId="3" xfId="0" applyNumberFormat="1" applyFont="1" applyBorder="1" applyAlignment="1">
      <alignment horizontal="left" vertical="top" wrapText="1"/>
    </xf>
    <xf numFmtId="0" fontId="0" fillId="0" borderId="0" xfId="0" applyAlignment="1">
      <alignment horizontal="center"/>
    </xf>
    <xf numFmtId="1" fontId="4" fillId="0" borderId="1" xfId="0" applyNumberFormat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4" xfId="0" applyBorder="1"/>
    <xf numFmtId="0" fontId="0" fillId="0" borderId="4" xfId="0" applyBorder="1" applyAlignment="1">
      <alignment wrapText="1"/>
    </xf>
    <xf numFmtId="49" fontId="3" fillId="0" borderId="2" xfId="1" applyNumberFormat="1" applyBorder="1" applyAlignment="1">
      <alignment horizontal="left" vertical="top"/>
    </xf>
    <xf numFmtId="0" fontId="8" fillId="0" borderId="0" xfId="0" applyFont="1"/>
    <xf numFmtId="0" fontId="8" fillId="3" borderId="0" xfId="0" applyFont="1" applyFill="1"/>
    <xf numFmtId="0" fontId="8" fillId="3" borderId="0" xfId="0" applyFont="1" applyFill="1" applyAlignment="1">
      <alignment wrapTex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wrapText="1"/>
    </xf>
    <xf numFmtId="49" fontId="4" fillId="4" borderId="1" xfId="0" applyNumberFormat="1" applyFont="1" applyFill="1" applyBorder="1" applyAlignment="1">
      <alignment horizontal="left" vertical="top"/>
    </xf>
    <xf numFmtId="0" fontId="3" fillId="0" borderId="0" xfId="1"/>
    <xf numFmtId="0" fontId="9" fillId="0" borderId="0" xfId="0" applyFont="1"/>
    <xf numFmtId="0" fontId="10" fillId="0" borderId="0" xfId="0" applyFont="1"/>
    <xf numFmtId="0" fontId="3" fillId="5" borderId="5" xfId="1" applyFill="1" applyBorder="1" applyAlignment="1">
      <alignment vertical="center" wrapText="1"/>
    </xf>
    <xf numFmtId="0" fontId="11" fillId="0" borderId="0" xfId="0" applyFont="1"/>
    <xf numFmtId="49" fontId="3" fillId="0" borderId="1" xfId="1" applyNumberFormat="1" applyBorder="1" applyAlignment="1">
      <alignment horizontal="left" vertical="top"/>
    </xf>
    <xf numFmtId="49" fontId="3" fillId="0" borderId="3" xfId="1" applyNumberForma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1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J40" totalsRowShown="0" headerRowDxfId="11" dataDxfId="10">
  <autoFilter ref="A1:J40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32AFDCD7-F4DF-4ED5-8811-A4897B942137}" name="Quantity" dataDxfId="9"/>
    <tableColumn id="2" xr3:uid="{FE933B93-DA18-4AED-A480-8EB2CB37E9FA}" name="Reference(s)" dataDxfId="8"/>
    <tableColumn id="10" xr3:uid="{F7578A95-5131-4E48-843B-E8DF71CB7A4C}" name="Description" dataDxfId="7"/>
    <tableColumn id="11" xr3:uid="{0E106ADB-04B7-4862-9B8C-0C8A8ACABA2E}" name="Package" dataDxfId="6"/>
    <tableColumn id="3" xr3:uid="{3756D777-6A0B-46EA-891A-5F8ACDDB5DC3}" name="Part Number" dataDxfId="5"/>
    <tableColumn id="12" xr3:uid="{E9BD92E7-ABBB-4AE0-9D4B-0267526E38F6}" name="Manufacturer" dataDxfId="4"/>
    <tableColumn id="4" xr3:uid="{F268DED4-AA10-4CEF-A3B9-66A35E6F6B34}" name="Vendor PN" dataDxfId="3"/>
    <tableColumn id="8" xr3:uid="{123ECB15-FDBD-41FB-B610-A68574792B2E}" name="Notes" dataDxfId="2"/>
    <tableColumn id="9" xr3:uid="{CBC1BA7D-9405-443F-AA6B-33103FF6355C}" name="Link" dataDxfId="1"/>
    <tableColumn id="5" xr3:uid="{04A78D46-042E-424E-B45C-FB7EBC025E60}" name="Column1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espressif-systems/esp32-c3-wroom-02-h4/14553033" TargetMode="External"/><Relationship Id="rId3" Type="http://schemas.openxmlformats.org/officeDocument/2006/relationships/hyperlink" Target="https://www.mouser.com/c/passive-components/inductors-chokes-coils/power-inductors-smd/?m=Coilcraft&amp;series=LPS3010" TargetMode="External"/><Relationship Id="rId7" Type="http://schemas.openxmlformats.org/officeDocument/2006/relationships/hyperlink" Target="https://www.digikey.com/en/products/filter/power-management-pmic/voltage-regulators-dc-dc-switching-regulators/10-wfdfn-exposed-pad/739?s=N4IgjCBcpgbFoDGUBmBDANgZwKYBoQA3AOygBcAnAV3xAHsoBtEAdgBZ2BOEAXQIAcyUEAGVKAS2IBzEAF95QA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mouser.com/manufacturer/coilcraft/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hyperlink" Target="https://www.digikey.com/en/products/result?s=N4IgjCBcoLQCxVAYygMwIYBsDOBTANCAG4B2aWehA9lANogCcArHEwGwgC6hADgC5QQIAL6igA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result?s=N4IgjCBcoLQCxVAYygMwIYBsDOBTANCAG4B2aWehA9lANohwAccAzAEwgC6hADgC5QQIAL6igA" TargetMode="External"/><Relationship Id="rId10" Type="http://schemas.openxmlformats.org/officeDocument/2006/relationships/hyperlink" Target="https://www.digikey.com/en/products/detail/sensirion-ag/SHT30-DIS-B2-5KS/5872250" TargetMode="External"/><Relationship Id="rId4" Type="http://schemas.openxmlformats.org/officeDocument/2006/relationships/hyperlink" Target="https://www.digikey.com/en/products/filter/transistors/fets-mosfets/single-fets-mosfets/to-236-3-sc-59-sot-23-3/278?s=N4IgjCBcpgbFoDGUBmBDANgZwKYBoQA3AOygBcAnAV3xAHsoBtEAFjAGZ2wAOEAXQIAHMlBABlSgEtiAcxABfRUA" TargetMode="External"/><Relationship Id="rId9" Type="http://schemas.openxmlformats.org/officeDocument/2006/relationships/hyperlink" Target="https://www.digikey.com/en/products/detail/texas-instruments/BQ27427YZFR/177483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zoomScaleNormal="100" zoomScaleSheetLayoutView="100" zoomScalePageLayoutView="85" workbookViewId="0">
      <selection activeCell="J43" sqref="J43"/>
    </sheetView>
  </sheetViews>
  <sheetFormatPr defaultRowHeight="14.4" x14ac:dyDescent="0.3"/>
  <cols>
    <col min="1" max="1" width="10" customWidth="1"/>
    <col min="2" max="2" width="20.33203125" customWidth="1"/>
    <col min="3" max="3" width="37.6640625" customWidth="1"/>
    <col min="4" max="4" width="11.5546875" customWidth="1"/>
    <col min="5" max="5" width="20.44140625" bestFit="1" customWidth="1"/>
    <col min="6" max="6" width="22.6640625" customWidth="1"/>
    <col min="7" max="7" width="23.6640625" bestFit="1" customWidth="1"/>
    <col min="8" max="8" width="36.5546875" customWidth="1"/>
    <col min="9" max="9" width="15.33203125" customWidth="1"/>
  </cols>
  <sheetData>
    <row r="1" spans="1:10" x14ac:dyDescent="0.3">
      <c r="A1" s="1" t="s">
        <v>0</v>
      </c>
      <c r="B1" s="1" t="s">
        <v>1</v>
      </c>
      <c r="C1" s="1" t="s">
        <v>5</v>
      </c>
      <c r="D1" s="1" t="s">
        <v>3</v>
      </c>
      <c r="E1" s="1" t="s">
        <v>2</v>
      </c>
      <c r="F1" s="1" t="s">
        <v>4</v>
      </c>
      <c r="G1" s="1" t="s">
        <v>36</v>
      </c>
      <c r="H1" s="1" t="s">
        <v>6</v>
      </c>
      <c r="I1" s="1" t="s">
        <v>26</v>
      </c>
      <c r="J1" s="1" t="s">
        <v>126</v>
      </c>
    </row>
    <row r="2" spans="1:10" x14ac:dyDescent="0.3">
      <c r="A2" s="15">
        <v>1</v>
      </c>
      <c r="B2" s="3" t="s">
        <v>9</v>
      </c>
      <c r="C2" s="3" t="s">
        <v>88</v>
      </c>
      <c r="D2" s="3"/>
      <c r="E2" s="2" t="s">
        <v>89</v>
      </c>
      <c r="F2" s="2" t="s">
        <v>90</v>
      </c>
      <c r="G2" s="2" t="s">
        <v>91</v>
      </c>
      <c r="H2" s="2" t="s">
        <v>92</v>
      </c>
      <c r="I2" s="19" t="s">
        <v>93</v>
      </c>
      <c r="J2" s="9"/>
    </row>
    <row r="3" spans="1:10" x14ac:dyDescent="0.3">
      <c r="A3" s="15">
        <v>1</v>
      </c>
      <c r="B3" s="3" t="s">
        <v>10</v>
      </c>
      <c r="C3" s="3" t="s">
        <v>69</v>
      </c>
      <c r="D3" s="3"/>
      <c r="E3" s="2"/>
      <c r="F3" s="2" t="s">
        <v>68</v>
      </c>
      <c r="G3" s="2" t="s">
        <v>67</v>
      </c>
      <c r="H3" s="2" t="s">
        <v>66</v>
      </c>
      <c r="I3" s="2" t="s">
        <v>8</v>
      </c>
      <c r="J3" s="2"/>
    </row>
    <row r="4" spans="1:10" ht="28.8" x14ac:dyDescent="0.3">
      <c r="A4" s="15">
        <v>1</v>
      </c>
      <c r="B4" s="3" t="s">
        <v>11</v>
      </c>
      <c r="C4" s="3" t="s">
        <v>94</v>
      </c>
      <c r="D4" s="3"/>
      <c r="E4" s="2" t="s">
        <v>95</v>
      </c>
      <c r="F4" s="2" t="s">
        <v>96</v>
      </c>
      <c r="G4" s="2" t="s">
        <v>97</v>
      </c>
      <c r="H4" s="2" t="s">
        <v>94</v>
      </c>
      <c r="I4" s="2"/>
      <c r="J4" s="2"/>
    </row>
    <row r="5" spans="1:10" ht="28.8" x14ac:dyDescent="0.3">
      <c r="A5" s="15">
        <v>9</v>
      </c>
      <c r="B5" s="3" t="s">
        <v>75</v>
      </c>
      <c r="C5" s="20" t="s">
        <v>98</v>
      </c>
      <c r="D5" s="2" t="s">
        <v>12</v>
      </c>
      <c r="E5" s="20" t="s">
        <v>99</v>
      </c>
      <c r="F5" s="20" t="s">
        <v>100</v>
      </c>
      <c r="G5" s="20" t="s">
        <v>101</v>
      </c>
      <c r="H5" s="2" t="s">
        <v>47</v>
      </c>
      <c r="I5" s="2"/>
      <c r="J5" s="2"/>
    </row>
    <row r="6" spans="1:10" x14ac:dyDescent="0.3">
      <c r="A6" s="15">
        <v>7</v>
      </c>
      <c r="B6" s="3" t="s">
        <v>13</v>
      </c>
      <c r="C6" s="21" t="s">
        <v>102</v>
      </c>
      <c r="D6" s="2" t="s">
        <v>37</v>
      </c>
      <c r="E6" s="21" t="s">
        <v>103</v>
      </c>
      <c r="F6" s="20" t="s">
        <v>100</v>
      </c>
      <c r="G6" s="21" t="s">
        <v>104</v>
      </c>
      <c r="H6" s="2" t="s">
        <v>47</v>
      </c>
      <c r="I6" s="2"/>
      <c r="J6" s="2"/>
    </row>
    <row r="7" spans="1:10" x14ac:dyDescent="0.3">
      <c r="A7" s="15">
        <v>3</v>
      </c>
      <c r="B7" s="3" t="s">
        <v>77</v>
      </c>
      <c r="C7" s="21" t="s">
        <v>115</v>
      </c>
      <c r="D7" s="2" t="s">
        <v>12</v>
      </c>
      <c r="E7" s="21" t="s">
        <v>113</v>
      </c>
      <c r="F7" s="21" t="s">
        <v>100</v>
      </c>
      <c r="G7" s="22" t="s">
        <v>114</v>
      </c>
      <c r="H7" s="2" t="s">
        <v>47</v>
      </c>
      <c r="I7" s="2"/>
      <c r="J7" s="2"/>
    </row>
    <row r="8" spans="1:10" x14ac:dyDescent="0.3">
      <c r="A8" s="15">
        <v>2</v>
      </c>
      <c r="B8" s="3" t="s">
        <v>14</v>
      </c>
      <c r="C8" s="11" t="s">
        <v>116</v>
      </c>
      <c r="D8" s="2" t="s">
        <v>12</v>
      </c>
      <c r="E8" s="4"/>
      <c r="F8" s="4"/>
      <c r="G8" s="2"/>
      <c r="H8" s="6" t="s">
        <v>76</v>
      </c>
      <c r="I8" s="2"/>
      <c r="J8" s="2"/>
    </row>
    <row r="9" spans="1:10" x14ac:dyDescent="0.3">
      <c r="A9" s="15">
        <v>2</v>
      </c>
      <c r="B9" s="3" t="s">
        <v>78</v>
      </c>
      <c r="C9" s="3" t="s">
        <v>120</v>
      </c>
      <c r="D9" s="2" t="s">
        <v>12</v>
      </c>
      <c r="E9" s="2" t="s">
        <v>117</v>
      </c>
      <c r="F9" s="12" t="s">
        <v>100</v>
      </c>
      <c r="G9" s="5" t="s">
        <v>118</v>
      </c>
      <c r="H9" s="2" t="s">
        <v>119</v>
      </c>
      <c r="I9" s="2" t="s">
        <v>121</v>
      </c>
      <c r="J9" s="2"/>
    </row>
    <row r="10" spans="1:10" x14ac:dyDescent="0.3">
      <c r="A10" s="15">
        <v>2</v>
      </c>
      <c r="B10" s="3"/>
      <c r="C10" s="3"/>
      <c r="D10" s="2"/>
      <c r="E10" s="2"/>
      <c r="F10" s="2"/>
      <c r="G10" s="2"/>
      <c r="H10" s="2"/>
      <c r="I10" s="2"/>
      <c r="J10" s="2"/>
    </row>
    <row r="11" spans="1:10" x14ac:dyDescent="0.3">
      <c r="A11" s="15">
        <v>1</v>
      </c>
      <c r="B11" s="3" t="s">
        <v>15</v>
      </c>
      <c r="C11" s="3" t="s">
        <v>43</v>
      </c>
      <c r="D11" s="3" t="s">
        <v>41</v>
      </c>
      <c r="E11" s="2" t="s">
        <v>39</v>
      </c>
      <c r="F11" s="2" t="s">
        <v>40</v>
      </c>
      <c r="G11" s="2" t="s">
        <v>38</v>
      </c>
      <c r="H11" s="2"/>
      <c r="I11" s="2"/>
      <c r="J11" s="2"/>
    </row>
    <row r="12" spans="1:10" x14ac:dyDescent="0.3">
      <c r="A12" s="15">
        <v>3</v>
      </c>
      <c r="B12" s="3" t="s">
        <v>16</v>
      </c>
      <c r="C12" s="17" t="s">
        <v>44</v>
      </c>
      <c r="D12" s="3" t="s">
        <v>42</v>
      </c>
      <c r="E12" s="17" t="s">
        <v>45</v>
      </c>
      <c r="F12" s="17" t="s">
        <v>46</v>
      </c>
      <c r="G12" s="22" t="s">
        <v>105</v>
      </c>
      <c r="H12" s="2" t="s">
        <v>47</v>
      </c>
      <c r="I12" s="2"/>
      <c r="J12" s="2"/>
    </row>
    <row r="13" spans="1:10" x14ac:dyDescent="0.3">
      <c r="A13" s="15">
        <v>2</v>
      </c>
      <c r="B13" s="3" t="s">
        <v>56</v>
      </c>
      <c r="C13" s="17" t="s">
        <v>48</v>
      </c>
      <c r="D13" s="3" t="s">
        <v>42</v>
      </c>
      <c r="E13" s="17" t="s">
        <v>50</v>
      </c>
      <c r="F13" s="17" t="s">
        <v>46</v>
      </c>
      <c r="G13" s="18" t="s">
        <v>49</v>
      </c>
      <c r="H13" s="2" t="s">
        <v>47</v>
      </c>
      <c r="I13" s="2"/>
      <c r="J13" s="2"/>
    </row>
    <row r="14" spans="1:10" x14ac:dyDescent="0.3">
      <c r="A14" s="15">
        <v>1</v>
      </c>
      <c r="B14" s="3" t="s">
        <v>17</v>
      </c>
      <c r="C14" s="3" t="s">
        <v>53</v>
      </c>
      <c r="D14" s="3" t="s">
        <v>54</v>
      </c>
      <c r="E14" s="2" t="s">
        <v>55</v>
      </c>
      <c r="F14" s="2" t="s">
        <v>52</v>
      </c>
      <c r="G14" s="3" t="s">
        <v>51</v>
      </c>
      <c r="H14" s="2" t="s">
        <v>106</v>
      </c>
      <c r="I14" s="2" t="s">
        <v>107</v>
      </c>
      <c r="J14" s="2"/>
    </row>
    <row r="15" spans="1:10" ht="15" customHeight="1" x14ac:dyDescent="0.3">
      <c r="A15" s="15">
        <v>1</v>
      </c>
      <c r="B15" s="3" t="s">
        <v>18</v>
      </c>
      <c r="C15" s="3" t="s">
        <v>60</v>
      </c>
      <c r="D15" s="3"/>
      <c r="E15" s="2" t="s">
        <v>57</v>
      </c>
      <c r="F15" s="2" t="s">
        <v>58</v>
      </c>
      <c r="G15" s="2" t="s">
        <v>59</v>
      </c>
      <c r="H15" s="6"/>
      <c r="I15" s="2"/>
      <c r="J15" s="2"/>
    </row>
    <row r="16" spans="1:10" ht="15" customHeight="1" x14ac:dyDescent="0.3">
      <c r="A16" s="15">
        <v>1</v>
      </c>
      <c r="B16" s="3" t="s">
        <v>70</v>
      </c>
      <c r="C16" s="13" t="s">
        <v>71</v>
      </c>
      <c r="D16" s="13"/>
      <c r="E16" s="2" t="s">
        <v>72</v>
      </c>
      <c r="F16" s="10" t="s">
        <v>73</v>
      </c>
      <c r="G16" s="2" t="s">
        <v>74</v>
      </c>
      <c r="H16" s="2"/>
      <c r="I16" s="2" t="s">
        <v>122</v>
      </c>
      <c r="J16" s="2"/>
    </row>
    <row r="17" spans="1:10" ht="15" customHeight="1" x14ac:dyDescent="0.3">
      <c r="A17" s="15">
        <v>1</v>
      </c>
      <c r="B17" s="3" t="s">
        <v>79</v>
      </c>
      <c r="C17" s="13"/>
      <c r="D17" s="13"/>
      <c r="E17" s="2"/>
      <c r="F17" s="10"/>
      <c r="G17" s="2"/>
      <c r="H17" s="6"/>
      <c r="I17" s="2"/>
      <c r="J17" s="2"/>
    </row>
    <row r="18" spans="1:10" x14ac:dyDescent="0.3">
      <c r="A18" s="15">
        <v>3</v>
      </c>
      <c r="B18" s="3" t="s">
        <v>81</v>
      </c>
      <c r="C18" s="3"/>
      <c r="D18" s="3"/>
      <c r="E18" s="3"/>
      <c r="F18" s="3"/>
      <c r="G18" s="2"/>
      <c r="H18" s="2" t="s">
        <v>47</v>
      </c>
      <c r="I18" s="2"/>
      <c r="J18" s="2"/>
    </row>
    <row r="19" spans="1:10" x14ac:dyDescent="0.3">
      <c r="A19" s="15">
        <v>1</v>
      </c>
      <c r="B19" s="3" t="s">
        <v>82</v>
      </c>
      <c r="C19" s="13"/>
      <c r="D19" s="13"/>
      <c r="E19" s="2"/>
      <c r="F19" s="10"/>
      <c r="G19" s="2"/>
      <c r="H19" s="2"/>
      <c r="I19" s="2"/>
      <c r="J19" s="2"/>
    </row>
    <row r="20" spans="1:10" x14ac:dyDescent="0.3">
      <c r="A20" s="15">
        <v>1</v>
      </c>
      <c r="B20" s="3" t="s">
        <v>83</v>
      </c>
      <c r="C20" s="13"/>
      <c r="D20" s="13"/>
      <c r="E20" s="2"/>
      <c r="F20" s="10"/>
      <c r="G20" s="2"/>
      <c r="H20" s="2" t="s">
        <v>47</v>
      </c>
      <c r="I20" s="2"/>
      <c r="J20" s="2"/>
    </row>
    <row r="21" spans="1:10" ht="15" thickBot="1" x14ac:dyDescent="0.35">
      <c r="A21" s="15">
        <v>1</v>
      </c>
      <c r="B21" s="3" t="s">
        <v>80</v>
      </c>
      <c r="C21" s="3" t="s">
        <v>64</v>
      </c>
      <c r="D21" s="3"/>
      <c r="E21" s="2" t="s">
        <v>65</v>
      </c>
      <c r="F21" s="2" t="s">
        <v>63</v>
      </c>
      <c r="G21" s="2" t="s">
        <v>62</v>
      </c>
      <c r="H21" s="2" t="s">
        <v>61</v>
      </c>
      <c r="I21" s="2" t="s">
        <v>123</v>
      </c>
      <c r="J21" s="2"/>
    </row>
    <row r="22" spans="1:10" ht="15" thickBot="1" x14ac:dyDescent="0.35">
      <c r="A22" s="15">
        <v>1</v>
      </c>
      <c r="B22" s="3" t="s">
        <v>19</v>
      </c>
      <c r="C22" s="28" t="s">
        <v>130</v>
      </c>
      <c r="D22" s="29" t="s">
        <v>131</v>
      </c>
      <c r="E22" s="27" t="s">
        <v>128</v>
      </c>
      <c r="F22" s="26" t="s">
        <v>127</v>
      </c>
      <c r="G22" s="27" t="s">
        <v>129</v>
      </c>
      <c r="H22" s="2"/>
      <c r="I22" s="2" t="s">
        <v>124</v>
      </c>
      <c r="J22" s="25" t="s">
        <v>125</v>
      </c>
    </row>
    <row r="23" spans="1:10" ht="15" thickTop="1" x14ac:dyDescent="0.3">
      <c r="A23" s="15">
        <v>1</v>
      </c>
      <c r="B23" s="3" t="s">
        <v>20</v>
      </c>
      <c r="C23" s="11"/>
      <c r="D23" s="11"/>
      <c r="E23" s="5"/>
      <c r="F23" s="5"/>
      <c r="G23" s="5"/>
      <c r="H23" s="2" t="s">
        <v>21</v>
      </c>
      <c r="I23" s="2"/>
      <c r="J23" s="2"/>
    </row>
    <row r="24" spans="1:10" x14ac:dyDescent="0.3">
      <c r="A24" s="15">
        <v>1</v>
      </c>
      <c r="B24" s="3" t="s">
        <v>22</v>
      </c>
      <c r="C24" s="3" t="s">
        <v>132</v>
      </c>
      <c r="D24" s="26" t="s">
        <v>133</v>
      </c>
      <c r="E24" s="2" t="s">
        <v>134</v>
      </c>
      <c r="F24" s="2" t="s">
        <v>135</v>
      </c>
      <c r="G24" s="2" t="s">
        <v>134</v>
      </c>
      <c r="H24" s="2" t="s">
        <v>136</v>
      </c>
      <c r="I24" s="2" t="s">
        <v>137</v>
      </c>
      <c r="J24" s="2"/>
    </row>
    <row r="25" spans="1:10" ht="28.8" x14ac:dyDescent="0.3">
      <c r="A25" s="15">
        <v>12</v>
      </c>
      <c r="B25" s="3" t="s">
        <v>84</v>
      </c>
      <c r="C25" s="20" t="s">
        <v>108</v>
      </c>
      <c r="D25" s="23" t="s">
        <v>109</v>
      </c>
      <c r="E25" s="20" t="s">
        <v>110</v>
      </c>
      <c r="F25" s="20" t="s">
        <v>111</v>
      </c>
      <c r="G25" s="24" t="s">
        <v>112</v>
      </c>
      <c r="H25" s="2" t="s">
        <v>47</v>
      </c>
      <c r="I25" s="2"/>
      <c r="J25" s="2"/>
    </row>
    <row r="26" spans="1:10" x14ac:dyDescent="0.3">
      <c r="A26" s="15">
        <v>2</v>
      </c>
      <c r="B26" s="3" t="s">
        <v>23</v>
      </c>
      <c r="C26" s="11" t="s">
        <v>143</v>
      </c>
      <c r="D26" s="11" t="s">
        <v>109</v>
      </c>
      <c r="E26" s="5" t="s">
        <v>140</v>
      </c>
      <c r="F26" s="5" t="s">
        <v>139</v>
      </c>
      <c r="G26" s="2" t="s">
        <v>138</v>
      </c>
      <c r="H26" s="2" t="s">
        <v>141</v>
      </c>
      <c r="I26" s="2" t="s">
        <v>142</v>
      </c>
      <c r="J26" s="2"/>
    </row>
    <row r="27" spans="1:10" x14ac:dyDescent="0.3">
      <c r="A27" s="15">
        <v>1</v>
      </c>
      <c r="B27" s="3" t="s">
        <v>85</v>
      </c>
      <c r="C27" s="3" t="s">
        <v>146</v>
      </c>
      <c r="D27" s="11" t="s">
        <v>109</v>
      </c>
      <c r="E27" s="2" t="s">
        <v>144</v>
      </c>
      <c r="F27" s="2" t="s">
        <v>139</v>
      </c>
      <c r="G27" s="3" t="s">
        <v>145</v>
      </c>
      <c r="H27" s="6" t="s">
        <v>147</v>
      </c>
      <c r="I27" s="2" t="s">
        <v>148</v>
      </c>
      <c r="J27" s="2"/>
    </row>
    <row r="28" spans="1:10" x14ac:dyDescent="0.3">
      <c r="A28" s="15">
        <v>1</v>
      </c>
      <c r="B28" s="3" t="s">
        <v>86</v>
      </c>
      <c r="C28" s="3" t="s">
        <v>153</v>
      </c>
      <c r="D28" s="11" t="s">
        <v>109</v>
      </c>
      <c r="E28" s="2" t="s">
        <v>149</v>
      </c>
      <c r="F28" s="2" t="s">
        <v>139</v>
      </c>
      <c r="G28" s="2" t="s">
        <v>150</v>
      </c>
      <c r="H28" s="2" t="s">
        <v>151</v>
      </c>
      <c r="I28" s="2" t="s">
        <v>152</v>
      </c>
      <c r="J28" s="2"/>
    </row>
    <row r="29" spans="1:10" x14ac:dyDescent="0.3">
      <c r="A29" s="15">
        <v>5</v>
      </c>
      <c r="B29" s="3" t="s">
        <v>87</v>
      </c>
      <c r="C29" s="20" t="s">
        <v>154</v>
      </c>
      <c r="D29" s="23" t="s">
        <v>109</v>
      </c>
      <c r="E29" s="20" t="s">
        <v>155</v>
      </c>
      <c r="F29" s="20" t="s">
        <v>111</v>
      </c>
      <c r="G29" s="20" t="s">
        <v>156</v>
      </c>
      <c r="H29" s="7" t="s">
        <v>47</v>
      </c>
      <c r="I29" s="2"/>
      <c r="J29" s="2"/>
    </row>
    <row r="30" spans="1:10" x14ac:dyDescent="0.3">
      <c r="A30" s="15">
        <v>1</v>
      </c>
      <c r="B30" s="3" t="s">
        <v>24</v>
      </c>
      <c r="C30" s="3" t="s">
        <v>159</v>
      </c>
      <c r="D30" s="26" t="s">
        <v>163</v>
      </c>
      <c r="E30" s="2" t="s">
        <v>157</v>
      </c>
      <c r="F30" s="2" t="s">
        <v>158</v>
      </c>
      <c r="G30" s="2" t="s">
        <v>162</v>
      </c>
      <c r="H30" s="2" t="s">
        <v>160</v>
      </c>
      <c r="I30" s="2" t="s">
        <v>161</v>
      </c>
      <c r="J30" s="2"/>
    </row>
    <row r="31" spans="1:10" x14ac:dyDescent="0.3">
      <c r="A31" s="15">
        <v>4</v>
      </c>
      <c r="B31" s="3" t="s">
        <v>25</v>
      </c>
      <c r="C31" s="3" t="s">
        <v>168</v>
      </c>
      <c r="D31" s="26" t="s">
        <v>169</v>
      </c>
      <c r="E31" s="2" t="s">
        <v>164</v>
      </c>
      <c r="F31" s="2" t="s">
        <v>166</v>
      </c>
      <c r="G31" s="2" t="s">
        <v>165</v>
      </c>
      <c r="H31" s="2" t="s">
        <v>167</v>
      </c>
      <c r="I31" s="2"/>
      <c r="J31" s="2"/>
    </row>
    <row r="32" spans="1:10" x14ac:dyDescent="0.3">
      <c r="A32" s="15">
        <v>11</v>
      </c>
      <c r="B32" s="3" t="s">
        <v>27</v>
      </c>
      <c r="C32" s="3"/>
      <c r="D32" s="3"/>
      <c r="E32" s="2"/>
      <c r="F32" s="2"/>
      <c r="G32" s="3"/>
      <c r="H32" s="2"/>
      <c r="I32" s="2"/>
      <c r="J32" s="2"/>
    </row>
    <row r="33" spans="1:10" x14ac:dyDescent="0.3">
      <c r="A33" s="15">
        <v>1</v>
      </c>
      <c r="B33" s="3" t="s">
        <v>28</v>
      </c>
      <c r="C33" s="3" t="s">
        <v>174</v>
      </c>
      <c r="D33" s="30" t="s">
        <v>175</v>
      </c>
      <c r="E33" s="2" t="s">
        <v>173</v>
      </c>
      <c r="F33" s="2" t="s">
        <v>172</v>
      </c>
      <c r="G33" s="2" t="s">
        <v>170</v>
      </c>
      <c r="H33" s="2" t="s">
        <v>171</v>
      </c>
      <c r="I33" s="2" t="s">
        <v>182</v>
      </c>
      <c r="J33" s="2"/>
    </row>
    <row r="34" spans="1:10" x14ac:dyDescent="0.3">
      <c r="A34" s="15">
        <v>1</v>
      </c>
      <c r="B34" s="3" t="s">
        <v>29</v>
      </c>
      <c r="C34" s="3" t="s">
        <v>178</v>
      </c>
      <c r="D34" s="30" t="s">
        <v>181</v>
      </c>
      <c r="E34" s="2" t="s">
        <v>178</v>
      </c>
      <c r="F34" s="2" t="s">
        <v>177</v>
      </c>
      <c r="G34" s="2" t="s">
        <v>176</v>
      </c>
      <c r="H34" s="2" t="s">
        <v>179</v>
      </c>
      <c r="I34" s="2" t="s">
        <v>180</v>
      </c>
      <c r="J34" s="2"/>
    </row>
    <row r="35" spans="1:10" x14ac:dyDescent="0.3">
      <c r="A35" s="15">
        <v>1</v>
      </c>
      <c r="B35" s="3" t="s">
        <v>30</v>
      </c>
      <c r="C35" s="3" t="s">
        <v>186</v>
      </c>
      <c r="D35" s="26" t="s">
        <v>189</v>
      </c>
      <c r="E35" s="2" t="s">
        <v>183</v>
      </c>
      <c r="F35" s="2" t="s">
        <v>184</v>
      </c>
      <c r="G35" s="2" t="s">
        <v>185</v>
      </c>
      <c r="H35" s="2" t="s">
        <v>188</v>
      </c>
      <c r="I35" s="2" t="s">
        <v>187</v>
      </c>
      <c r="J35" s="2"/>
    </row>
    <row r="36" spans="1:10" x14ac:dyDescent="0.3">
      <c r="A36" s="15">
        <v>1</v>
      </c>
      <c r="B36" s="3" t="s">
        <v>31</v>
      </c>
      <c r="C36" s="3" t="s">
        <v>190</v>
      </c>
      <c r="D36" s="30" t="s">
        <v>195</v>
      </c>
      <c r="E36" s="2" t="s">
        <v>190</v>
      </c>
      <c r="F36" s="2" t="s">
        <v>191</v>
      </c>
      <c r="G36" s="2" t="s">
        <v>192</v>
      </c>
      <c r="H36" s="2" t="s">
        <v>193</v>
      </c>
      <c r="I36" s="31" t="s">
        <v>194</v>
      </c>
      <c r="J36" s="2"/>
    </row>
    <row r="37" spans="1:10" x14ac:dyDescent="0.3">
      <c r="A37" s="15">
        <v>1</v>
      </c>
      <c r="B37" s="3" t="s">
        <v>32</v>
      </c>
      <c r="C37" s="3" t="s">
        <v>201</v>
      </c>
      <c r="D37" s="30" t="s">
        <v>202</v>
      </c>
      <c r="E37" s="2" t="s">
        <v>197</v>
      </c>
      <c r="F37" s="2" t="s">
        <v>198</v>
      </c>
      <c r="G37" s="2" t="s">
        <v>196</v>
      </c>
      <c r="H37" s="2" t="s">
        <v>199</v>
      </c>
      <c r="I37" s="10" t="s">
        <v>200</v>
      </c>
      <c r="J37" s="2"/>
    </row>
    <row r="38" spans="1:10" x14ac:dyDescent="0.3">
      <c r="A38" s="16">
        <v>1</v>
      </c>
      <c r="B38" s="13" t="s">
        <v>33</v>
      </c>
      <c r="C38" s="13" t="s">
        <v>207</v>
      </c>
      <c r="D38" s="30" t="s">
        <v>208</v>
      </c>
      <c r="E38" s="10" t="s">
        <v>206</v>
      </c>
      <c r="F38" s="10" t="s">
        <v>184</v>
      </c>
      <c r="G38" s="10" t="s">
        <v>203</v>
      </c>
      <c r="H38" s="10" t="s">
        <v>204</v>
      </c>
      <c r="I38" s="32" t="s">
        <v>205</v>
      </c>
      <c r="J38" s="2"/>
    </row>
    <row r="39" spans="1:10" x14ac:dyDescent="0.3">
      <c r="A39" s="16">
        <v>1</v>
      </c>
      <c r="B39" s="13" t="s">
        <v>34</v>
      </c>
      <c r="C39" s="13" t="s">
        <v>214</v>
      </c>
      <c r="D39" s="30" t="s">
        <v>215</v>
      </c>
      <c r="E39" s="10" t="s">
        <v>210</v>
      </c>
      <c r="F39" s="10" t="s">
        <v>209</v>
      </c>
      <c r="G39" s="10" t="s">
        <v>211</v>
      </c>
      <c r="H39" s="10" t="s">
        <v>212</v>
      </c>
      <c r="I39" s="32" t="s">
        <v>213</v>
      </c>
      <c r="J39" s="2"/>
    </row>
    <row r="40" spans="1:10" x14ac:dyDescent="0.3">
      <c r="A40" s="16">
        <v>1</v>
      </c>
      <c r="B40" s="13" t="s">
        <v>35</v>
      </c>
      <c r="C40" s="13" t="s">
        <v>218</v>
      </c>
      <c r="D40" s="30" t="s">
        <v>221</v>
      </c>
      <c r="E40" s="10" t="s">
        <v>216</v>
      </c>
      <c r="F40" s="10" t="s">
        <v>217</v>
      </c>
      <c r="G40" s="10" t="s">
        <v>217</v>
      </c>
      <c r="H40" s="10" t="s">
        <v>219</v>
      </c>
      <c r="I40" s="10" t="s">
        <v>220</v>
      </c>
      <c r="J40" s="10"/>
    </row>
    <row r="41" spans="1:10" x14ac:dyDescent="0.3">
      <c r="A41" s="14">
        <f>SUM(A2:A40)</f>
        <v>92</v>
      </c>
      <c r="B41" s="8" t="s">
        <v>7</v>
      </c>
      <c r="C41" s="8"/>
      <c r="D41" s="8"/>
    </row>
  </sheetData>
  <phoneticPr fontId="2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F22" r:id="rId2" display="https://www.mouser.com/manufacturer/coilcraft/" xr:uid="{CED89B1A-921B-483C-94A5-D3D0D17FB929}"/>
    <hyperlink ref="D22" r:id="rId3" display="https://www.mouser.com/c/passive-components/inductors-chokes-coils/power-inductors-smd/?m=Coilcraft&amp;series=LPS3010" xr:uid="{8A83DDD0-1C33-4EDB-A035-13D20D09AE17}"/>
    <hyperlink ref="D24" r:id="rId4" display="https://www.digikey.com/en/products/filter/transistors/fets-mosfets/single-fets-mosfets/to-236-3-sc-59-sot-23-3/278?s=N4IgjCBcpgbFoDGUBmBDANgZwKYBoQA3AOygBcAnAV3xAHsoBtEAFjAGZ2wAOEAXQIAHMlBABlSgEtiAcxABfRUA" xr:uid="{FD328100-F3B7-4B69-B0ED-4FAB1791735F}"/>
    <hyperlink ref="D30" r:id="rId5" display="https://www.digikey.com/en/products/result?s=N4IgjCBcoLQCxVAYygMwIYBsDOBTANCAG4B2aWehA9lANohwAccAzAEwgC6hADgC5QQIAL6igA" xr:uid="{C81535BB-A5C7-4FDD-B4D2-90F7FB1E8938}"/>
    <hyperlink ref="D31" r:id="rId6" display="https://www.digikey.com/en/products/result?s=N4IgjCBcoLQCxVAYygMwIYBsDOBTANCAG4B2aWehA9lANogCcArHEwGwgC6hADgC5QQIAL6igA" xr:uid="{FF71EE82-24FA-4A30-A704-B40120AE9746}"/>
    <hyperlink ref="D35" r:id="rId7" display="https://www.digikey.com/en/products/filter/power-management-pmic/voltage-regulators-dc-dc-switching-regulators/10-wfdfn-exposed-pad/739?s=N4IgjCBcpgbFoDGUBmBDANgZwKYBoQA3AOygBcAnAV3xAHsoBtEAdgBZ2BOEAXQIAcyUEAGVKAS2IBzEAF95QA" xr:uid="{08D2A1B0-FCC3-46BD-AA04-BBCD507C76C4}"/>
    <hyperlink ref="I36" r:id="rId8" xr:uid="{504861C4-2BAC-4BE2-8F95-7EA09BF4415C}"/>
    <hyperlink ref="I38" r:id="rId9" xr:uid="{BB78B275-38B4-4555-BEEE-09680AD6EE69}"/>
    <hyperlink ref="I39" r:id="rId10" xr:uid="{4295295F-C461-46B4-9FF8-784C0631F89D}"/>
  </hyperlinks>
  <pageMargins left="0.67965686274509796" right="0.7" top="0.75" bottom="0.75" header="0.3" footer="0.3"/>
  <pageSetup scale="59" orientation="landscape" r:id="rId11"/>
  <headerFooter>
    <oddHeader>&amp;C&amp;"-,Bold"&amp;14Golf GPS BOM&amp;RRev 1</oddHeader>
  </headerFooter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Bryan York</cp:lastModifiedBy>
  <cp:lastPrinted>2024-11-16T00:12:30Z</cp:lastPrinted>
  <dcterms:created xsi:type="dcterms:W3CDTF">2015-06-05T18:17:20Z</dcterms:created>
  <dcterms:modified xsi:type="dcterms:W3CDTF">2025-10-12T03:12:31Z</dcterms:modified>
</cp:coreProperties>
</file>