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U:\gitRepos\golf-gps\docs\"/>
    </mc:Choice>
  </mc:AlternateContent>
  <xr:revisionPtr revIDLastSave="0" documentId="13_ncr:1_{BE7BCD1B-7BF2-42F4-B7EE-30CF8543868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BOM" sheetId="1" r:id="rId1"/>
  </sheets>
  <definedNames>
    <definedName name="_xlnm.Print_Area" localSheetId="0">BOM!$A$1:$H$32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<sst xmlns="http://schemas.openxmlformats.org/spreadsheetml/2006/main" count="241" uniqueCount="205">
  <si>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</si>
  <si>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</si>
  <si>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</si>
  <si>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</si>
  <si>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</si>
  <si>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</si>
  <si>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</si>
  <si>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</si>
  <si>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</si>
  <si>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</si>
  <si>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</si>
  <si>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</si>
  <si>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</si>
  <si>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F1</t>
  </si>
  <si>
    <t>L1</t>
  </si>
  <si>
    <t>L2</t>
  </si>
  <si>
    <t>DNP. Use 0603 0 Ohm resistor</t>
  </si>
  <si>
    <t>Q1</t>
  </si>
  <si>
    <t>SW1</t>
  </si>
  <si>
    <t>SW2-SW5</t>
  </si>
  <si>
    <t>Link</t>
  </si>
  <si>
    <t>U1</t>
  </si>
  <si>
    <t>U2</t>
  </si>
  <si>
    <t>U3</t>
  </si>
  <si>
    <t>U4</t>
  </si>
  <si>
    <t>U5</t>
  </si>
  <si>
    <t>U6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</si>
  <si>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</si>
  <si>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</si>
  <si>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</si>
  <si>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</si>
  <si>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</si>
  <si>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</si>
  <si>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</si>
  <si>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</si>
  <si>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</si>
  <si>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</si>
  <si>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</si>
  <si>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</si>
  <si>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</si>
  <si>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</si>
  <si>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</si>
  <si>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</si>
  <si>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</si>
  <si>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</si>
  <si>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</si>
  <si>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</si>
  <si>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</si>
  <si>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</si>
  <si>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</si>
  <si>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</si>
  <si>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</si>
  <si>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</si>
  <si>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</si>
  <si>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</si>
  <si>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</si>
  <si>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</si>
  <si>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</si>
  <si>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</si>
  <si>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</si>
  <si>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</si>
  <si>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</si>
  <si>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</si>
  <si>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</si>
  <si>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</si>
  <si>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J2</t>
  </si>
  <si>
    <t>J6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</si>
  <si>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</si>
  <si>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</si>
  <si>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</si>
  <si>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</si>
  <si>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</si>
  <si>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</si>
  <si>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</si>
  <si>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</si>
  <si>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</si>
  <si>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</si>
  <si>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</si>
  <si>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</si>
  <si>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</si>
  <si>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</si>
  <si>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</si>
  <si>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</si>
  <si>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</si>
  <si>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</si>
  <si>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</si>
  <si>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</si>
  <si>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</si>
  <si>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</si>
  <si>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</si>
  <si>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</si>
  <si>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</si>
  <si>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</si>
  <si>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</si>
  <si>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</si>
  <si>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</si>
  <si>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</si>
  <si>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</si>
  <si>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</si>
  <si>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</si>
  <si>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</si>
  <si>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</si>
  <si>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RES 5.1K OHM 1% 1/10W 0603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</si>
  <si>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</si>
  <si>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</si>
  <si>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</si>
  <si>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</si>
  <si>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</si>
  <si>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</si>
  <si>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</si>
  <si>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</si>
  <si>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</si>
  <si>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</si>
  <si>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</si>
  <si>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</si>
  <si>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</si>
  <si>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</si>
  <si>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</si>
  <si>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</si>
  <si>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</si>
  <si>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</si>
  <si>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</si>
  <si>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</si>
  <si>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</si>
  <si>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</si>
  <si>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</si>
  <si>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</si>
  <si>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</si>
  <si>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</si>
  <si>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</si>
  <si>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</si>
  <si>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https://www.digikey.com/en/products/detail/texas-instruments/BQ27427YZFR/17748369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</si>
  <si>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</si>
  <si>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</si>
  <si>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</si>
  <si>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</si>
  <si>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</si>
  <si>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</si>
  <si>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</si>
  <si>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</si>
  <si>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</si>
  <si>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</si>
  <si>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</si>
  <si>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</si>
  <si>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</si>
  <si>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</si>
  <si>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</si>
  <si>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</si>
  <si>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</si>
  <si>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</si>
  <si>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</si>
  <si>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</si>
  <si>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</si>
  <si>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</si>
  <si>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</si>
  <si>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</si>
  <si>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</si>
  <si>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</si>
  <si>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</si>
  <si>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</si>
  <si>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</si>
  <si>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</si>
  <si>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</si>
  <si>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</si>
  <si>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C1-C6, C8</t>
  </si>
  <si>
    <t>C7, C9, C11, C12, C15, C16, C19, C20</t>
  </si>
  <si>
    <t>C10, 21</t>
  </si>
  <si>
    <t>C13, C14</t>
  </si>
  <si>
    <t>D1, D3, D4</t>
  </si>
  <si>
    <t>D2</t>
  </si>
  <si>
    <t>D7</t>
  </si>
  <si>
    <t>D5, D6</t>
  </si>
  <si>
    <t>J3</t>
  </si>
  <si>
    <t>Conn_01x03_Pin</t>
  </si>
  <si>
    <t>J4</t>
  </si>
  <si>
    <t>J5</t>
  </si>
  <si>
    <t>Conn_01x04</t>
  </si>
  <si>
    <t>Conn_02x04</t>
  </si>
  <si>
    <t>R1, R3</t>
  </si>
  <si>
    <t>R2</t>
  </si>
  <si>
    <t>R4, R11-R13, R15-R18</t>
  </si>
  <si>
    <t>R5, R8-R10, R14</t>
  </si>
  <si>
    <t>R6, R7</t>
  </si>
  <si>
    <t>R19</t>
  </si>
  <si>
    <t>R20</t>
  </si>
  <si>
    <t>R21, R22</t>
  </si>
  <si>
    <t>296-37269-1-ND</t>
  </si>
  <si>
    <t>BQ27411DRZT-G1A</t>
  </si>
  <si>
    <t>IC FUEL GAUGE LI-ION 1CELL 12SON</t>
  </si>
  <si>
    <t>1% tolerance, 1W rating</t>
  </si>
  <si>
    <t>1206</t>
  </si>
  <si>
    <t>P=2.54mm</t>
  </si>
  <si>
    <t>R0805</t>
  </si>
  <si>
    <t>RMCF0603FT5K10</t>
  </si>
  <si>
    <t>RMCF0603FT5K10CT-ND</t>
  </si>
  <si>
    <t>R1206</t>
  </si>
  <si>
    <t>RES 0.01 OHM 1% 1W 1206</t>
  </si>
  <si>
    <t>CSRF1206FT10L0</t>
  </si>
  <si>
    <t>CSRF1206FT10L0CT-ND</t>
  </si>
  <si>
    <t>RES 470K OHM 5% 1/8W 0805</t>
  </si>
  <si>
    <t>RMCF0805JT470KCT-ND</t>
  </si>
  <si>
    <t>RMCF0805JT470K</t>
  </si>
  <si>
    <t>RMCF0805FT1M00CT-ND</t>
  </si>
  <si>
    <t>RMCF0805FT1M00</t>
  </si>
  <si>
    <t>RES 1M OHM 1% 1/8W 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</si>
</sst>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0" fontId="0" fillId="0" borderId="5" xfId="0" applyBorder="1"/>
    <xf numFmtId="49" fontId="0" fillId="0" borderId="1" xfId="0" applyNumberFormat="1" applyBorder="1"/>
    <xf numFmtId="49" fontId="0" fillId="0" borderId="7" xfId="0" applyNumberFormat="1" applyBorder="1"/>
    <xf numFmtId="49" fontId="0" fillId="0" borderId="3" xfId="0" applyNumberFormat="1" applyBorder="1"/>
    <xf numFmtId="49" fontId="0" fillId="0" borderId="9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13">
    <dxf>
      <numFmt numFmtId="30" formatCode="@"/>
      <border diagonalUp="0" diagonalDown="0" outline="0"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top style="thin">
          <color theme="9"/>
        </top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2" headerRowBorderDxfId="11" tableBorderDxfId="10" totalsRowBorder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0" sqref="H10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4.28515625" bestFit="1" customWidth="1"/>
    <col min="5" max="5" width="28.85546875" bestFit="1" customWidth="1"/>
    <col min="6" max="6" width="26" bestFit="1" customWidth="1"/>
    <col min="7" max="7" width="32.7109375" bestFit="1" customWidth="1"/>
    <col min="8" max="8" width="30.42578125" customWidth="1"/>
    <col min="9" max="9" width="255.7109375" bestFit="1" customWidth="1"/>
  </cols>
  <sheetData>
    <row r="1" spans="1:9" x14ac:dyDescent="0.25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28</v>
      </c>
      <c r="H1" s="4" t="s">
        <v>6</v>
      </c>
      <c r="I1" s="5" t="s">
        <v>20</v>
      </c>
    </row>
    <row r="2" spans="1:9" x14ac:dyDescent="0.25">
      <c r="A2" s="12">
        <v>1</v>
      </c>
      <c r="B2" s="10" t="s">
        <v>9</v>
      </c>
      <c r="C2" s="6" t="s">
        <v>67</v>
      </c>
      <c r="D2" s="6"/>
      <c r="E2" s="6" t="s">
        <v>68</v>
      </c>
      <c r="F2" s="6" t="s">
        <v>69</v>
      </c>
      <c r="G2" s="6" t="s">
        <v>70</v>
      </c>
      <c r="H2" s="6"/>
      <c r="I2" s="7" t="s">
        <v>71</v>
      </c>
    </row>
    <row r="3" spans="1:9" x14ac:dyDescent="0.25">
      <c r="A3" s="12">
        <v>1</v>
      </c>
      <c r="B3" s="10" t="s">
        <v>10</v>
      </c>
      <c r="C3" s="6" t="s">
        <v>59</v>
      </c>
      <c r="D3" s="6"/>
      <c r="E3" s="6"/>
      <c r="F3" s="6" t="s">
        <v>58</v>
      </c>
      <c r="G3" s="6" t="s">
        <v>57</v>
      </c>
      <c r="H3" s="6" t="s">
        <v>56</v>
      </c>
      <c r="I3" s="7" t="s">
        <v>8</v>
      </c>
    </row>
    <row r="4" spans="1:9" x14ac:dyDescent="0.25">
      <c r="A4" s="12">
        <v>1</v>
      </c>
      <c r="B4" s="10" t="s">
        <v>11</v>
      </c>
      <c r="C4" s="6" t="s">
        <v>151</v>
      </c>
      <c r="D4" s="6"/>
      <c r="E4" s="6" t="s">
        <v>72</v>
      </c>
      <c r="F4" s="6" t="s">
        <v>73</v>
      </c>
      <c r="G4" s="6" t="s">
        <v>74</v>
      </c>
      <c r="H4" s="6" t="s">
        <v>38</v>
      </c>
      <c r="I4" s="7"/>
    </row>
    <row r="5" spans="1:9" x14ac:dyDescent="0.25">
      <c r="A5" s="12">
        <v>7</v>
      </c>
      <c r="B5" s="10" t="s">
        <v>164</v>
      </c>
      <c r="C5" s="6" t="s">
        <v>79</v>
      </c>
      <c r="D5" s="6" t="s">
        <v>29</v>
      </c>
      <c r="E5" s="6" t="s">
        <v>80</v>
      </c>
      <c r="F5" s="6" t="s">
        <v>77</v>
      </c>
      <c r="G5" s="6" t="s">
        <v>81</v>
      </c>
      <c r="H5" s="6" t="s">
        <v>38</v>
      </c>
      <c r="I5" s="7"/>
    </row>
    <row r="6" spans="1:9" ht="30" x14ac:dyDescent="0.25">
      <c r="A6" s="12">
        <v>8</v>
      </c>
      <c r="B6" s="10" t="s">
        <v>165</v>
      </c>
      <c r="C6" s="6" t="s">
        <v>75</v>
      </c>
      <c r="D6" s="6" t="s">
        <v>12</v>
      </c>
      <c r="E6" s="6" t="s">
        <v>76</v>
      </c>
      <c r="F6" s="6" t="s">
        <v>77</v>
      </c>
      <c r="G6" s="6" t="s">
        <v>78</v>
      </c>
      <c r="H6" s="6" t="s">
        <v>38</v>
      </c>
      <c r="I6" s="7"/>
    </row>
    <row r="7" spans="1:9" x14ac:dyDescent="0.25">
      <c r="A7" s="12">
        <v>2</v>
      </c>
      <c r="B7" s="10" t="s">
        <v>166</v>
      </c>
      <c r="C7" s="6" t="s">
        <v>90</v>
      </c>
      <c r="D7" s="6" t="s">
        <v>12</v>
      </c>
      <c r="E7" s="6" t="s">
        <v>88</v>
      </c>
      <c r="F7" s="6" t="s">
        <v>77</v>
      </c>
      <c r="G7" s="6" t="s">
        <v>89</v>
      </c>
      <c r="H7" s="6" t="s">
        <v>38</v>
      </c>
      <c r="I7" s="7"/>
    </row>
    <row r="8" spans="1:9" x14ac:dyDescent="0.25">
      <c r="A8" s="12">
        <v>2</v>
      </c>
      <c r="B8" s="10" t="s">
        <v>167</v>
      </c>
      <c r="C8" s="6" t="s">
        <v>157</v>
      </c>
      <c r="D8" s="6" t="s">
        <v>12</v>
      </c>
      <c r="E8" s="6" t="s">
        <v>156</v>
      </c>
      <c r="F8" s="6" t="s">
        <v>77</v>
      </c>
      <c r="G8" s="6" t="s">
        <v>155</v>
      </c>
      <c r="H8" s="6"/>
      <c r="I8" s="7"/>
    </row>
    <row r="9" spans="1:9" x14ac:dyDescent="0.25">
      <c r="A9" s="12">
        <v>3</v>
      </c>
      <c r="B9" s="10" t="s">
        <v>168</v>
      </c>
      <c r="C9" s="6" t="s">
        <v>36</v>
      </c>
      <c r="D9" s="6" t="s">
        <v>34</v>
      </c>
      <c r="E9" s="6" t="s">
        <v>158</v>
      </c>
      <c r="F9" s="6" t="s">
        <v>37</v>
      </c>
      <c r="G9" s="6" t="s">
        <v>159</v>
      </c>
      <c r="H9" s="6"/>
      <c r="I9" s="7"/>
    </row>
    <row r="10" spans="1:9" x14ac:dyDescent="0.25">
      <c r="A10" s="12">
        <v>1</v>
      </c>
      <c r="B10" s="10" t="s">
        <v>169</v>
      </c>
      <c r="C10" s="6" t="s">
        <v>35</v>
      </c>
      <c r="D10" s="6" t="s">
        <v>33</v>
      </c>
      <c r="E10" s="6" t="s">
        <v>31</v>
      </c>
      <c r="F10" s="6" t="s">
        <v>32</v>
      </c>
      <c r="G10" s="6" t="s">
        <v>30</v>
      </c>
      <c r="H10" s="6"/>
      <c r="I10" s="7"/>
    </row>
    <row r="11" spans="1:9" x14ac:dyDescent="0.25">
      <c r="A11" s="12">
        <v>2</v>
      </c>
      <c r="B11" s="10" t="s">
        <v>171</v>
      </c>
      <c r="C11" s="6" t="s">
        <v>39</v>
      </c>
      <c r="D11" s="6" t="s">
        <v>34</v>
      </c>
      <c r="E11" s="6" t="s">
        <v>41</v>
      </c>
      <c r="F11" s="6" t="s">
        <v>37</v>
      </c>
      <c r="G11" s="6" t="s">
        <v>40</v>
      </c>
      <c r="H11" s="6" t="s">
        <v>38</v>
      </c>
      <c r="I11" s="7"/>
    </row>
    <row r="12" spans="1:9" x14ac:dyDescent="0.25">
      <c r="A12" s="12">
        <v>1</v>
      </c>
      <c r="B12" s="10" t="s">
        <v>170</v>
      </c>
      <c r="C12" s="6" t="s">
        <v>44</v>
      </c>
      <c r="D12" s="6" t="s">
        <v>45</v>
      </c>
      <c r="E12" s="6" t="s">
        <v>46</v>
      </c>
      <c r="F12" s="6" t="s">
        <v>43</v>
      </c>
      <c r="G12" s="6" t="s">
        <v>42</v>
      </c>
      <c r="H12" s="6"/>
      <c r="I12" s="7" t="s">
        <v>82</v>
      </c>
    </row>
    <row r="13" spans="1:9" ht="15" customHeight="1" x14ac:dyDescent="0.25">
      <c r="A13" s="12">
        <v>1</v>
      </c>
      <c r="B13" s="10" t="s">
        <v>13</v>
      </c>
      <c r="C13" s="6" t="s">
        <v>50</v>
      </c>
      <c r="D13" s="6" t="s">
        <v>190</v>
      </c>
      <c r="E13" s="6" t="s">
        <v>47</v>
      </c>
      <c r="F13" s="6" t="s">
        <v>48</v>
      </c>
      <c r="G13" s="6" t="s">
        <v>49</v>
      </c>
      <c r="H13" s="6"/>
      <c r="I13" s="7"/>
    </row>
    <row r="14" spans="1:9" ht="15" customHeight="1" x14ac:dyDescent="0.25">
      <c r="A14" s="12">
        <v>1</v>
      </c>
      <c r="B14" s="10" t="s">
        <v>60</v>
      </c>
      <c r="C14" s="6" t="s">
        <v>61</v>
      </c>
      <c r="D14" s="6"/>
      <c r="E14" s="6" t="s">
        <v>62</v>
      </c>
      <c r="F14" s="6" t="s">
        <v>63</v>
      </c>
      <c r="G14" s="6" t="s">
        <v>64</v>
      </c>
      <c r="H14" s="6"/>
      <c r="I14" s="7" t="s">
        <v>91</v>
      </c>
    </row>
    <row r="15" spans="1:9" ht="15" customHeight="1" x14ac:dyDescent="0.25">
      <c r="A15" s="12">
        <v>1</v>
      </c>
      <c r="B15" s="10" t="s">
        <v>65</v>
      </c>
      <c r="C15" s="6" t="s">
        <v>153</v>
      </c>
      <c r="D15" s="6" t="s">
        <v>191</v>
      </c>
      <c r="E15" s="6"/>
      <c r="F15" s="6"/>
      <c r="G15" s="6"/>
      <c r="H15" s="6" t="s">
        <v>51</v>
      </c>
      <c r="I15" s="7"/>
    </row>
    <row r="16" spans="1:9" x14ac:dyDescent="0.25">
      <c r="A16" s="12">
        <v>1</v>
      </c>
      <c r="B16" s="10" t="s">
        <v>172</v>
      </c>
      <c r="C16" s="6" t="s">
        <v>173</v>
      </c>
      <c r="D16" s="6" t="s">
        <v>191</v>
      </c>
      <c r="E16" s="6"/>
      <c r="F16" s="6"/>
      <c r="G16" s="6"/>
      <c r="H16" s="6" t="s">
        <v>38</v>
      </c>
      <c r="I16" s="7"/>
    </row>
    <row r="17" spans="1:9" x14ac:dyDescent="0.25">
      <c r="A17" s="12">
        <v>1</v>
      </c>
      <c r="B17" s="10" t="s">
        <v>174</v>
      </c>
      <c r="C17" s="6" t="s">
        <v>177</v>
      </c>
      <c r="D17" s="6" t="s">
        <v>191</v>
      </c>
      <c r="E17" s="6"/>
      <c r="F17" s="6"/>
      <c r="G17" s="6"/>
      <c r="H17" s="6" t="s">
        <v>38</v>
      </c>
      <c r="I17" s="7"/>
    </row>
    <row r="18" spans="1:9" x14ac:dyDescent="0.25">
      <c r="A18" s="12">
        <v>1</v>
      </c>
      <c r="B18" s="10" t="s">
        <v>175</v>
      </c>
      <c r="C18" s="6" t="s">
        <v>176</v>
      </c>
      <c r="D18" s="6" t="s">
        <v>191</v>
      </c>
      <c r="E18" s="6"/>
      <c r="F18" s="6"/>
      <c r="G18" s="6"/>
      <c r="H18" s="6" t="s">
        <v>38</v>
      </c>
      <c r="I18" s="7"/>
    </row>
    <row r="19" spans="1:9" x14ac:dyDescent="0.25">
      <c r="A19" s="12">
        <v>1</v>
      </c>
      <c r="B19" s="10" t="s">
        <v>66</v>
      </c>
      <c r="C19" s="6" t="s">
        <v>54</v>
      </c>
      <c r="D19" s="6"/>
      <c r="E19" s="6" t="s">
        <v>55</v>
      </c>
      <c r="F19" s="6" t="s">
        <v>53</v>
      </c>
      <c r="G19" s="6" t="s">
        <v>52</v>
      </c>
      <c r="H19" s="6" t="s">
        <v>51</v>
      </c>
      <c r="I19" s="7" t="s">
        <v>92</v>
      </c>
    </row>
    <row r="20" spans="1:9" x14ac:dyDescent="0.25">
      <c r="A20" s="12">
        <v>1</v>
      </c>
      <c r="B20" s="10" t="s">
        <v>14</v>
      </c>
      <c r="C20" s="6" t="s">
        <v>163</v>
      </c>
      <c r="D20" s="6"/>
      <c r="E20" s="6" t="s">
        <v>160</v>
      </c>
      <c r="F20" s="6" t="s">
        <v>161</v>
      </c>
      <c r="G20" s="6" t="s">
        <v>162</v>
      </c>
      <c r="H20" s="6"/>
      <c r="I20" s="7"/>
    </row>
    <row r="21" spans="1:9" x14ac:dyDescent="0.25">
      <c r="A21" s="12">
        <v>1</v>
      </c>
      <c r="B21" s="10" t="s">
        <v>15</v>
      </c>
      <c r="C21" s="6"/>
      <c r="D21" s="6"/>
      <c r="E21" s="6"/>
      <c r="F21" s="6"/>
      <c r="G21" s="6"/>
      <c r="H21" s="6" t="s">
        <v>16</v>
      </c>
      <c r="I21" s="7"/>
    </row>
    <row r="22" spans="1:9" x14ac:dyDescent="0.25">
      <c r="A22" s="12">
        <v>1</v>
      </c>
      <c r="B22" s="10" t="s">
        <v>17</v>
      </c>
      <c r="C22" s="6" t="s">
        <v>93</v>
      </c>
      <c r="D22" s="6" t="s">
        <v>152</v>
      </c>
      <c r="E22" s="6" t="s">
        <v>94</v>
      </c>
      <c r="F22" s="6" t="s">
        <v>95</v>
      </c>
      <c r="G22" s="6" t="s">
        <v>150</v>
      </c>
      <c r="H22" s="6"/>
      <c r="I22" s="7" t="s">
        <v>96</v>
      </c>
    </row>
    <row r="23" spans="1:9" x14ac:dyDescent="0.25">
      <c r="A23" s="12">
        <v>2</v>
      </c>
      <c r="B23" s="10" t="s">
        <v>178</v>
      </c>
      <c r="C23" s="6" t="s">
        <v>101</v>
      </c>
      <c r="D23" s="6" t="s">
        <v>84</v>
      </c>
      <c r="E23" s="6" t="s">
        <v>99</v>
      </c>
      <c r="F23" s="6" t="s">
        <v>98</v>
      </c>
      <c r="G23" s="6" t="s">
        <v>97</v>
      </c>
      <c r="H23" s="6"/>
      <c r="I23" s="7" t="s">
        <v>100</v>
      </c>
    </row>
    <row r="24" spans="1:9" x14ac:dyDescent="0.25">
      <c r="A24" s="12">
        <v>1</v>
      </c>
      <c r="B24" s="10" t="s">
        <v>179</v>
      </c>
      <c r="C24" s="6" t="s">
        <v>106</v>
      </c>
      <c r="D24" s="6" t="s">
        <v>84</v>
      </c>
      <c r="E24" s="6" t="s">
        <v>103</v>
      </c>
      <c r="F24" s="6" t="s">
        <v>98</v>
      </c>
      <c r="G24" s="6" t="s">
        <v>104</v>
      </c>
      <c r="H24" s="6"/>
      <c r="I24" s="7" t="s">
        <v>105</v>
      </c>
    </row>
    <row r="25" spans="1:9" x14ac:dyDescent="0.25">
      <c r="A25" s="12">
        <v>8</v>
      </c>
      <c r="B25" s="10" t="s">
        <v>180</v>
      </c>
      <c r="C25" s="6" t="s">
        <v>83</v>
      </c>
      <c r="D25" s="6" t="s">
        <v>84</v>
      </c>
      <c r="E25" s="6" t="s">
        <v>85</v>
      </c>
      <c r="F25" s="6" t="s">
        <v>86</v>
      </c>
      <c r="G25" s="6" t="s">
        <v>87</v>
      </c>
      <c r="H25" s="6" t="s">
        <v>38</v>
      </c>
      <c r="I25" s="7"/>
    </row>
    <row r="26" spans="1:9" x14ac:dyDescent="0.25">
      <c r="A26" s="12">
        <v>5</v>
      </c>
      <c r="B26" s="10" t="s">
        <v>181</v>
      </c>
      <c r="C26" s="6" t="s">
        <v>107</v>
      </c>
      <c r="D26" s="6" t="s">
        <v>84</v>
      </c>
      <c r="E26" s="6" t="s">
        <v>108</v>
      </c>
      <c r="F26" s="6" t="s">
        <v>86</v>
      </c>
      <c r="G26" s="6" t="s">
        <v>109</v>
      </c>
      <c r="H26" s="6" t="s">
        <v>38</v>
      </c>
      <c r="I26" s="7"/>
    </row>
    <row r="27" spans="1:9" x14ac:dyDescent="0.25">
      <c r="A27" s="12">
        <v>2</v>
      </c>
      <c r="B27" s="10" t="s">
        <v>182</v>
      </c>
      <c r="C27" s="6" t="s">
        <v>102</v>
      </c>
      <c r="D27" s="6" t="s">
        <v>84</v>
      </c>
      <c r="E27" s="6" t="s">
        <v>193</v>
      </c>
      <c r="F27" s="6" t="s">
        <v>86</v>
      </c>
      <c r="G27" s="6" t="s">
        <v>194</v>
      </c>
      <c r="H27" s="6"/>
      <c r="I27" s="7"/>
    </row>
    <row r="28" spans="1:9" x14ac:dyDescent="0.25">
      <c r="A28" s="12">
        <v>1</v>
      </c>
      <c r="B28" s="10" t="s">
        <v>183</v>
      </c>
      <c r="C28" s="6" t="s">
        <v>196</v>
      </c>
      <c r="D28" s="6" t="s">
        <v>195</v>
      </c>
      <c r="E28" s="6" t="s">
        <v>197</v>
      </c>
      <c r="F28" s="6" t="s">
        <v>86</v>
      </c>
      <c r="G28" s="6" t="s">
        <v>198</v>
      </c>
      <c r="H28" s="6" t="s">
        <v>189</v>
      </c>
      <c r="I28" s="7"/>
    </row>
    <row r="29" spans="1:9" x14ac:dyDescent="0.25">
      <c r="A29" s="12">
        <v>1</v>
      </c>
      <c r="B29" s="10" t="s">
        <v>184</v>
      </c>
      <c r="C29" s="6" t="s">
        <v>199</v>
      </c>
      <c r="D29" s="6" t="s">
        <v>192</v>
      </c>
      <c r="E29" s="6" t="s">
        <v>201</v>
      </c>
      <c r="F29" s="6" t="s">
        <v>86</v>
      </c>
      <c r="G29" s="6" t="s">
        <v>200</v>
      </c>
      <c r="H29" s="6"/>
      <c r="I29" s="7"/>
    </row>
    <row r="30" spans="1:9" x14ac:dyDescent="0.25">
      <c r="A30" s="12">
        <v>2</v>
      </c>
      <c r="B30" s="10" t="s">
        <v>185</v>
      </c>
      <c r="C30" s="6" t="s">
        <v>204</v>
      </c>
      <c r="D30" s="6" t="s">
        <v>192</v>
      </c>
      <c r="E30" s="6" t="s">
        <v>203</v>
      </c>
      <c r="F30" s="6" t="s">
        <v>86</v>
      </c>
      <c r="G30" s="6" t="s">
        <v>202</v>
      </c>
      <c r="H30" s="6"/>
      <c r="I30" s="7"/>
    </row>
    <row r="31" spans="1:9" x14ac:dyDescent="0.25">
      <c r="A31" s="12">
        <v>1</v>
      </c>
      <c r="B31" s="10" t="s">
        <v>18</v>
      </c>
      <c r="C31" s="6" t="s">
        <v>145</v>
      </c>
      <c r="D31" s="6"/>
      <c r="E31" s="6" t="s">
        <v>142</v>
      </c>
      <c r="F31" s="6" t="s">
        <v>143</v>
      </c>
      <c r="G31" s="6" t="s">
        <v>144</v>
      </c>
      <c r="H31" s="6" t="s">
        <v>38</v>
      </c>
      <c r="I31" s="7"/>
    </row>
    <row r="32" spans="1:9" x14ac:dyDescent="0.25">
      <c r="A32" s="12">
        <v>4</v>
      </c>
      <c r="B32" s="10" t="s">
        <v>19</v>
      </c>
      <c r="C32" s="6" t="s">
        <v>110</v>
      </c>
      <c r="D32" s="6"/>
      <c r="E32" s="6"/>
      <c r="F32" s="6"/>
      <c r="G32" s="6"/>
      <c r="H32" s="6" t="s">
        <v>38</v>
      </c>
      <c r="I32" s="7"/>
    </row>
    <row r="33" spans="1:9" x14ac:dyDescent="0.25">
      <c r="A33" s="12">
        <v>1</v>
      </c>
      <c r="B33" s="10" t="s">
        <v>21</v>
      </c>
      <c r="C33" s="6" t="s">
        <v>113</v>
      </c>
      <c r="D33" s="6" t="s">
        <v>147</v>
      </c>
      <c r="E33" s="6" t="s">
        <v>113</v>
      </c>
      <c r="F33" s="6" t="s">
        <v>112</v>
      </c>
      <c r="G33" s="6" t="s">
        <v>111</v>
      </c>
      <c r="H33" s="6"/>
      <c r="I33" s="7" t="s">
        <v>114</v>
      </c>
    </row>
    <row r="34" spans="1:9" x14ac:dyDescent="0.25">
      <c r="A34" s="12">
        <v>1</v>
      </c>
      <c r="B34" s="10" t="s">
        <v>22</v>
      </c>
      <c r="C34" s="6" t="s">
        <v>118</v>
      </c>
      <c r="D34" s="6" t="s">
        <v>148</v>
      </c>
      <c r="E34" s="6" t="s">
        <v>115</v>
      </c>
      <c r="F34" s="6" t="s">
        <v>116</v>
      </c>
      <c r="G34" s="6" t="s">
        <v>117</v>
      </c>
      <c r="H34" s="6"/>
      <c r="I34" s="7" t="s">
        <v>119</v>
      </c>
    </row>
    <row r="35" spans="1:9" x14ac:dyDescent="0.25">
      <c r="A35" s="12">
        <v>1</v>
      </c>
      <c r="B35" s="10" t="s">
        <v>23</v>
      </c>
      <c r="C35" s="6" t="s">
        <v>120</v>
      </c>
      <c r="D35" s="6" t="s">
        <v>124</v>
      </c>
      <c r="E35" s="6" t="s">
        <v>120</v>
      </c>
      <c r="F35" s="6" t="s">
        <v>121</v>
      </c>
      <c r="G35" s="6" t="s">
        <v>122</v>
      </c>
      <c r="H35" s="6"/>
      <c r="I35" s="7" t="s">
        <v>123</v>
      </c>
    </row>
    <row r="36" spans="1:9" x14ac:dyDescent="0.25">
      <c r="A36" s="12">
        <v>1</v>
      </c>
      <c r="B36" s="10" t="s">
        <v>24</v>
      </c>
      <c r="C36" s="6" t="s">
        <v>129</v>
      </c>
      <c r="D36" s="6" t="s">
        <v>130</v>
      </c>
      <c r="E36" s="6" t="s">
        <v>126</v>
      </c>
      <c r="F36" s="6" t="s">
        <v>127</v>
      </c>
      <c r="G36" s="6" t="s">
        <v>125</v>
      </c>
      <c r="H36" s="6"/>
      <c r="I36" s="7" t="s">
        <v>128</v>
      </c>
    </row>
    <row r="37" spans="1:9" x14ac:dyDescent="0.25">
      <c r="A37" s="12">
        <v>1</v>
      </c>
      <c r="B37" s="10" t="s">
        <v>25</v>
      </c>
      <c r="C37" s="6" t="s">
        <v>136</v>
      </c>
      <c r="D37" s="6" t="s">
        <v>149</v>
      </c>
      <c r="E37" s="6" t="s">
        <v>133</v>
      </c>
      <c r="F37" s="6" t="s">
        <v>132</v>
      </c>
      <c r="G37" s="6" t="s">
        <v>134</v>
      </c>
      <c r="H37" s="6"/>
      <c r="I37" s="7" t="s">
        <v>135</v>
      </c>
    </row>
    <row r="38" spans="1:9" x14ac:dyDescent="0.25">
      <c r="A38" s="12">
        <v>1</v>
      </c>
      <c r="B38" s="10" t="s">
        <v>26</v>
      </c>
      <c r="C38" s="6" t="s">
        <v>188</v>
      </c>
      <c r="D38" s="6" t="s">
        <v>146</v>
      </c>
      <c r="E38" s="6" t="s">
        <v>187</v>
      </c>
      <c r="F38" s="6" t="s">
        <v>116</v>
      </c>
      <c r="G38" s="6" t="s">
        <v>186</v>
      </c>
      <c r="H38" s="6"/>
      <c r="I38" s="7" t="s">
        <v>131</v>
      </c>
    </row>
    <row r="39" spans="1:9" x14ac:dyDescent="0.25">
      <c r="A39" s="13">
        <v>1</v>
      </c>
      <c r="B39" s="11" t="s">
        <v>27</v>
      </c>
      <c r="C39" s="8" t="s">
        <v>139</v>
      </c>
      <c r="D39" s="8" t="s">
        <v>141</v>
      </c>
      <c r="E39" s="8" t="s">
        <v>137</v>
      </c>
      <c r="F39" s="8" t="s">
        <v>138</v>
      </c>
      <c r="G39" s="8" t="s">
        <v>154</v>
      </c>
      <c r="H39" s="8"/>
      <c r="I39" s="9" t="s">
        <v>140</v>
      </c>
    </row>
    <row r="40" spans="1:9" x14ac:dyDescent="0.25">
      <c r="A40" s="2">
        <f>SUM(A2:A39)</f>
        <v>73</v>
      </c>
      <c r="B40" s="1" t="s">
        <v>7</v>
      </c>
      <c r="C40" s="1"/>
      <c r="D40" s="1"/>
    </row>
  </sheetData>
  <phoneticPr fontId="1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8" r:id="rId3" xr:uid="{BB78B275-38B4-4555-BEEE-09680AD6EE69}"/>
    <hyperlink ref="I37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 E19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2025-10-15T19:17:00Z</dcterms:modified>
</cp:coreProperties>
</file>